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oz\OneDrive\Masaüstü\ScratchExp\"/>
    </mc:Choice>
  </mc:AlternateContent>
  <xr:revisionPtr revIDLastSave="0" documentId="13_ncr:1_{47B1E31C-04AE-41EF-B1AE-A809824C441A}" xr6:coauthVersionLast="47" xr6:coauthVersionMax="47" xr10:uidLastSave="{00000000-0000-0000-0000-000000000000}"/>
  <bookViews>
    <workbookView xWindow="7680" yWindow="3504" windowWidth="23040" windowHeight="13560" activeTab="1" xr2:uid="{902B9744-D54D-4E81-BDED-77D956081F09}"/>
  </bookViews>
  <sheets>
    <sheet name="extended" sheetId="4" r:id="rId1"/>
    <sheet name="simple" sheetId="2" r:id="rId2"/>
    <sheet name="ful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K14" i="4"/>
  <c r="J5" i="4"/>
  <c r="J6" i="4"/>
  <c r="J7" i="4"/>
  <c r="J9" i="4"/>
  <c r="J10" i="4"/>
  <c r="J11" i="4"/>
  <c r="J12" i="4"/>
  <c r="J13" i="4"/>
  <c r="J8" i="4"/>
  <c r="J3" i="4"/>
  <c r="J4" i="4"/>
  <c r="H24" i="4"/>
  <c r="I24" i="4" s="1"/>
  <c r="J2" i="4"/>
  <c r="H26" i="2"/>
  <c r="K14" i="2"/>
  <c r="K5" i="2"/>
  <c r="K3" i="2"/>
  <c r="K2" i="2"/>
</calcChain>
</file>

<file path=xl/sharedStrings.xml><?xml version="1.0" encoding="utf-8"?>
<sst xmlns="http://schemas.openxmlformats.org/spreadsheetml/2006/main" count="185" uniqueCount="93">
  <si>
    <t>Subj1Mov</t>
  </si>
  <si>
    <t>Subj2Mov</t>
  </si>
  <si>
    <t>Subj1Emotion</t>
  </si>
  <si>
    <t>Subj2Emotion</t>
  </si>
  <si>
    <t>EmotionCongruency</t>
  </si>
  <si>
    <t>VideoCongruency</t>
  </si>
  <si>
    <t>AffectiveDirectionCongruency</t>
  </si>
  <si>
    <t>Amusement</t>
  </si>
  <si>
    <t>Anger</t>
  </si>
  <si>
    <t>Sadness</t>
  </si>
  <si>
    <t>Tenderness</t>
  </si>
  <si>
    <t>Disgust</t>
  </si>
  <si>
    <t>Fear</t>
  </si>
  <si>
    <t>Neutral</t>
  </si>
  <si>
    <t>AudioPath1</t>
  </si>
  <si>
    <t>VideoPath1</t>
  </si>
  <si>
    <t>VideoPath2</t>
  </si>
  <si>
    <t>C:\Users\canoz\OneDrive\Masaüstü\EmotionVideos\23.wav</t>
  </si>
  <si>
    <t>C:\Users\canoz\OneDrive\Masaüstü\EmotionVideos\2.wav</t>
  </si>
  <si>
    <t>C:\Users\canoz\OneDrive\Masaüstü\EmotionVideos\51.wav</t>
  </si>
  <si>
    <t>C:\Users\canoz\OneDrive\Masaüstü\EmotionVideos\41.wav</t>
  </si>
  <si>
    <t>C:\Users\canoz\OneDrive\Masaüstü\EmotionVideos\30.wav</t>
  </si>
  <si>
    <t>C:\Users\canoz\OneDrive\Masaüstü\EmotionVideos\22.wav</t>
  </si>
  <si>
    <t>C:\Users\canoz\OneDrive\Masaüstü\EmotionVideos\7.wav</t>
  </si>
  <si>
    <t>C:\Users\canoz\OneDrive\Masaüstü\EmotionVideos\28.wav</t>
  </si>
  <si>
    <t>C:\Users\canoz\OneDrive\Masaüstü\EmotionVideos\39.wav</t>
  </si>
  <si>
    <t>C:\Users\canoz\OneDrive\Masaüstü\EmotionVideos\58.wav</t>
  </si>
  <si>
    <t>C:\Users\canoz\OneDrive\Masaüstü\EmotionVideos\52.wav</t>
  </si>
  <si>
    <t>C:\Users\canoz\OneDrive\Masaüstü\EmotionVideos\48.wav</t>
  </si>
  <si>
    <t>C:\Users\canoz\OneDrive\Masaüstü\EmotionVideos\33.wav</t>
  </si>
  <si>
    <t>C:\Users\canoz\OneDrive\Masaüstü\EmotionVideos\23.mp4</t>
  </si>
  <si>
    <t>C:\Users\canoz\OneDrive\Masaüstü\EmotionVideos\2.mp4</t>
  </si>
  <si>
    <t>C:\Users\canoz\OneDrive\Masaüstü\EmotionVideos\51.mp4</t>
  </si>
  <si>
    <t>C:\Users\canoz\OneDrive\Masaüstü\EmotionVideos\41.mp4</t>
  </si>
  <si>
    <t>C:\Users\canoz\OneDrive\Masaüstü\EmotionVideos\30.mp4</t>
  </si>
  <si>
    <t>C:\Users\canoz\OneDrive\Masaüstü\EmotionVideos\22.mp4</t>
  </si>
  <si>
    <t>C:\Users\canoz\OneDrive\Masaüstü\EmotionVideos\7.mp4</t>
  </si>
  <si>
    <t>C:\Users\canoz\OneDrive\Masaüstü\EmotionVideos\28.mp4</t>
  </si>
  <si>
    <t>C:\Users\canoz\OneDrive\Masaüstü\EmotionVideos\39.mp4</t>
  </si>
  <si>
    <t>C:\Users\canoz\OneDrive\Masaüstü\EmotionVideos\52.mp4</t>
  </si>
  <si>
    <t>C:\Users\canoz\OneDrive\Masaüstü\EmotionVideos\48.mp4</t>
  </si>
  <si>
    <t>C:\Users\canoz\OneDrive\Masaüstü\EmotionVideos\33.mp4</t>
  </si>
  <si>
    <t>C:\Users\canoz\OneDrive\Masaüstü\EmotionVideos\14.mp4</t>
  </si>
  <si>
    <t>C:\Users\canoz\OneDrive\Masaüstü\EmotionVideos\19.mp4</t>
  </si>
  <si>
    <t>C:\Users\canoz\OneDrive\Masaüstü\EmotionVideos\26.mp4</t>
  </si>
  <si>
    <t>C:\Users\canoz\OneDrive\Masaüstü\EmotionVideos\68.mp4</t>
  </si>
  <si>
    <t>C:\Users\canoz\OneDrive\Masaüstü\EmotionVideos\70.mp4</t>
  </si>
  <si>
    <t>C:\Users\canoz\OneDrive\Masaüstü\EmotionVideos\59.mp4</t>
  </si>
  <si>
    <t>C:\Users\canoz\OneDrive\Masaüstü\EmotionVideos\55.mp4</t>
  </si>
  <si>
    <t>C:\Users\canoz\OneDrive\Masaüstü\EmotionVideos\58.mpeg</t>
  </si>
  <si>
    <t>C:\Users\canoz\OneDrive\Masaüstü\EmotionVideos\49.mpeg</t>
  </si>
  <si>
    <t>Participant 1</t>
  </si>
  <si>
    <t>Participant 2</t>
  </si>
  <si>
    <t>Description1</t>
  </si>
  <si>
    <t>Description2</t>
  </si>
  <si>
    <t>Ghost Clay scene</t>
  </si>
  <si>
    <t>Boy with PJs rules</t>
  </si>
  <si>
    <t>Leon apartment massacre</t>
  </si>
  <si>
    <t>Don’t know the movie but it’s cute</t>
  </si>
  <si>
    <t>Runtime 1</t>
  </si>
  <si>
    <t>Runtime 2</t>
  </si>
  <si>
    <t>25s</t>
  </si>
  <si>
    <t>217s</t>
  </si>
  <si>
    <t>trainspotting shit all over</t>
  </si>
  <si>
    <t>64s</t>
  </si>
  <si>
    <t>101s</t>
  </si>
  <si>
    <t>100s</t>
  </si>
  <si>
    <t>Dead baby</t>
  </si>
  <si>
    <t>johnny depp bread dance</t>
  </si>
  <si>
    <t>Indy rats</t>
  </si>
  <si>
    <t>117s</t>
  </si>
  <si>
    <t>YA1</t>
  </si>
  <si>
    <t>YA2</t>
  </si>
  <si>
    <t>ZB3</t>
  </si>
  <si>
    <t>ZA1</t>
  </si>
  <si>
    <t>when harry met sally</t>
  </si>
  <si>
    <t>space</t>
  </si>
  <si>
    <t>that gut speaking italian</t>
  </si>
  <si>
    <t>blair witch ending</t>
  </si>
  <si>
    <t>Schindler's list</t>
  </si>
  <si>
    <t>Sloths</t>
  </si>
  <si>
    <t>Time Dif</t>
  </si>
  <si>
    <t>Italian</t>
  </si>
  <si>
    <t>Harry met Sally</t>
  </si>
  <si>
    <t>Blair Witch</t>
  </si>
  <si>
    <t>trainspotting toilet</t>
  </si>
  <si>
    <t>Space</t>
  </si>
  <si>
    <t>XD7</t>
  </si>
  <si>
    <t>Immune System</t>
  </si>
  <si>
    <t>ZD7</t>
  </si>
  <si>
    <t>Internet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</si>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</sst>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B044-E295-4C0D-8A41-30657CC75C10}">
  <dimension ref="A1:M24"/>
  <sheetViews>
    <sheetView workbookViewId="0">
      <selection activeCell="E19" sqref="E19"/>
    </sheetView>
  </sheetViews>
  <sheetFormatPr defaultRowHeight="14.4" x14ac:dyDescent="0.3"/>
  <sheetData>
    <row r="1" spans="1:13" x14ac:dyDescent="0.3">
      <c r="A1" t="s">
        <v>51</v>
      </c>
      <c r="B1" t="s">
        <v>52</v>
      </c>
      <c r="D1" t="s">
        <v>53</v>
      </c>
      <c r="F1" t="s">
        <v>54</v>
      </c>
      <c r="H1" t="s">
        <v>59</v>
      </c>
      <c r="I1" t="s">
        <v>60</v>
      </c>
      <c r="J1" t="s">
        <v>81</v>
      </c>
    </row>
    <row r="2" spans="1:13" x14ac:dyDescent="0.3">
      <c r="A2" t="s">
        <v>73</v>
      </c>
      <c r="B2" t="s">
        <v>73</v>
      </c>
      <c r="D2" s="7" t="s">
        <v>86</v>
      </c>
      <c r="E2" s="7"/>
      <c r="F2" s="7" t="s">
        <v>86</v>
      </c>
      <c r="H2">
        <v>93</v>
      </c>
      <c r="I2">
        <v>93</v>
      </c>
      <c r="J2">
        <f t="shared" ref="J2:J14" si="0">ABS(H2-I2)</f>
        <v>0</v>
      </c>
      <c r="L2" s="8" t="s">
        <v>91</v>
      </c>
      <c r="M2" s="8">
        <v>1</v>
      </c>
    </row>
    <row r="3" spans="1:13" x14ac:dyDescent="0.3">
      <c r="A3">
        <v>14</v>
      </c>
      <c r="B3">
        <v>23</v>
      </c>
      <c r="D3" s="5" t="s">
        <v>83</v>
      </c>
      <c r="F3" s="5" t="s">
        <v>82</v>
      </c>
      <c r="H3">
        <v>171</v>
      </c>
      <c r="I3">
        <v>180</v>
      </c>
      <c r="J3">
        <f t="shared" si="0"/>
        <v>9</v>
      </c>
      <c r="L3" s="8" t="s">
        <v>91</v>
      </c>
      <c r="M3" s="8">
        <v>2</v>
      </c>
    </row>
    <row r="4" spans="1:13" x14ac:dyDescent="0.3">
      <c r="A4">
        <v>55</v>
      </c>
      <c r="B4">
        <v>33</v>
      </c>
      <c r="D4" s="4" t="s">
        <v>84</v>
      </c>
      <c r="F4" s="5" t="s">
        <v>55</v>
      </c>
      <c r="H4">
        <v>240</v>
      </c>
      <c r="I4">
        <v>267</v>
      </c>
      <c r="J4">
        <f t="shared" si="0"/>
        <v>27</v>
      </c>
      <c r="L4" t="s">
        <v>92</v>
      </c>
      <c r="M4">
        <v>3</v>
      </c>
    </row>
    <row r="5" spans="1:13" x14ac:dyDescent="0.3">
      <c r="A5">
        <v>33</v>
      </c>
      <c r="B5">
        <v>55</v>
      </c>
      <c r="D5" s="5" t="s">
        <v>55</v>
      </c>
      <c r="F5" s="4" t="s">
        <v>84</v>
      </c>
      <c r="H5">
        <v>267</v>
      </c>
      <c r="I5">
        <v>240</v>
      </c>
      <c r="J5">
        <f t="shared" si="0"/>
        <v>27</v>
      </c>
      <c r="L5" t="s">
        <v>92</v>
      </c>
      <c r="M5">
        <v>4</v>
      </c>
    </row>
    <row r="6" spans="1:13" x14ac:dyDescent="0.3">
      <c r="A6">
        <v>23</v>
      </c>
      <c r="B6">
        <v>14</v>
      </c>
      <c r="D6" s="5" t="s">
        <v>82</v>
      </c>
      <c r="F6" s="5" t="s">
        <v>83</v>
      </c>
      <c r="H6">
        <v>180</v>
      </c>
      <c r="I6">
        <v>171</v>
      </c>
      <c r="J6">
        <f t="shared" si="0"/>
        <v>9</v>
      </c>
      <c r="L6" s="8" t="s">
        <v>91</v>
      </c>
      <c r="M6" s="8">
        <v>5</v>
      </c>
    </row>
    <row r="7" spans="1:13" x14ac:dyDescent="0.3">
      <c r="A7">
        <v>17</v>
      </c>
      <c r="B7">
        <v>17</v>
      </c>
      <c r="D7" s="3" t="s">
        <v>63</v>
      </c>
      <c r="E7" s="3"/>
      <c r="F7" s="3"/>
      <c r="H7">
        <v>64</v>
      </c>
      <c r="I7">
        <v>64</v>
      </c>
      <c r="J7">
        <f t="shared" si="0"/>
        <v>0</v>
      </c>
      <c r="L7" s="8" t="s">
        <v>91</v>
      </c>
      <c r="M7" s="8">
        <v>6</v>
      </c>
    </row>
    <row r="8" spans="1:13" x14ac:dyDescent="0.3">
      <c r="A8" t="s">
        <v>72</v>
      </c>
      <c r="B8" t="s">
        <v>72</v>
      </c>
      <c r="D8" s="5" t="s">
        <v>80</v>
      </c>
      <c r="E8" s="5"/>
      <c r="F8" s="5" t="s">
        <v>80</v>
      </c>
      <c r="H8">
        <v>200</v>
      </c>
      <c r="I8">
        <v>200</v>
      </c>
      <c r="J8">
        <f>ABS(H8-I8)</f>
        <v>0</v>
      </c>
      <c r="L8" s="8" t="s">
        <v>91</v>
      </c>
      <c r="M8" s="8">
        <v>7</v>
      </c>
    </row>
    <row r="9" spans="1:13" x14ac:dyDescent="0.3">
      <c r="A9">
        <v>19</v>
      </c>
      <c r="B9">
        <v>19</v>
      </c>
      <c r="D9" s="4" t="s">
        <v>79</v>
      </c>
      <c r="E9" s="4"/>
      <c r="F9" s="4"/>
      <c r="H9">
        <v>77</v>
      </c>
      <c r="I9">
        <v>77</v>
      </c>
      <c r="J9">
        <f t="shared" si="0"/>
        <v>0</v>
      </c>
      <c r="L9" s="8" t="s">
        <v>91</v>
      </c>
      <c r="M9" s="8">
        <v>8</v>
      </c>
    </row>
    <row r="10" spans="1:13" x14ac:dyDescent="0.3">
      <c r="A10">
        <v>26</v>
      </c>
      <c r="B10">
        <v>10</v>
      </c>
      <c r="D10" s="5" t="s">
        <v>58</v>
      </c>
      <c r="F10" s="6" t="s">
        <v>67</v>
      </c>
      <c r="H10">
        <v>101</v>
      </c>
      <c r="I10">
        <v>100</v>
      </c>
      <c r="J10">
        <f t="shared" si="0"/>
        <v>1</v>
      </c>
      <c r="L10" t="s">
        <v>92</v>
      </c>
      <c r="M10">
        <v>9</v>
      </c>
    </row>
    <row r="11" spans="1:13" x14ac:dyDescent="0.3">
      <c r="A11">
        <v>10</v>
      </c>
      <c r="B11">
        <v>26</v>
      </c>
      <c r="D11" s="6" t="s">
        <v>67</v>
      </c>
      <c r="F11" s="5" t="s">
        <v>58</v>
      </c>
      <c r="H11">
        <v>100</v>
      </c>
      <c r="I11">
        <v>101</v>
      </c>
      <c r="J11">
        <f t="shared" si="0"/>
        <v>1</v>
      </c>
      <c r="L11" t="s">
        <v>92</v>
      </c>
      <c r="M11">
        <v>10</v>
      </c>
    </row>
    <row r="12" spans="1:13" x14ac:dyDescent="0.3">
      <c r="A12">
        <v>56</v>
      </c>
      <c r="B12">
        <v>35</v>
      </c>
      <c r="D12" s="5" t="s">
        <v>68</v>
      </c>
      <c r="F12" s="3" t="s">
        <v>85</v>
      </c>
      <c r="H12">
        <v>127</v>
      </c>
      <c r="I12">
        <v>108</v>
      </c>
      <c r="J12">
        <f t="shared" si="0"/>
        <v>19</v>
      </c>
      <c r="L12" t="s">
        <v>92</v>
      </c>
      <c r="M12">
        <v>11</v>
      </c>
    </row>
    <row r="13" spans="1:13" x14ac:dyDescent="0.3">
      <c r="A13">
        <v>35</v>
      </c>
      <c r="B13">
        <v>56</v>
      </c>
      <c r="D13" s="3" t="s">
        <v>85</v>
      </c>
      <c r="F13" s="5" t="s">
        <v>68</v>
      </c>
      <c r="H13">
        <v>108</v>
      </c>
      <c r="I13">
        <v>127</v>
      </c>
      <c r="J13">
        <f t="shared" si="0"/>
        <v>19</v>
      </c>
      <c r="L13" t="s">
        <v>92</v>
      </c>
      <c r="M13">
        <v>12</v>
      </c>
    </row>
    <row r="14" spans="1:13" x14ac:dyDescent="0.3">
      <c r="A14" t="s">
        <v>87</v>
      </c>
      <c r="B14" t="s">
        <v>89</v>
      </c>
      <c r="D14" s="7" t="s">
        <v>88</v>
      </c>
      <c r="F14" s="7" t="s">
        <v>90</v>
      </c>
      <c r="H14">
        <v>388</v>
      </c>
      <c r="I14">
        <v>392</v>
      </c>
      <c r="J14">
        <f t="shared" si="0"/>
        <v>4</v>
      </c>
      <c r="K14">
        <f>6*60+32</f>
        <v>392</v>
      </c>
      <c r="L14" s="8" t="s">
        <v>91</v>
      </c>
      <c r="M14" s="8">
        <v>13</v>
      </c>
    </row>
    <row r="24" spans="8:9" x14ac:dyDescent="0.3">
      <c r="H24">
        <f>SUM(H2:H22)</f>
        <v>2116</v>
      </c>
      <c r="I24">
        <f>H24/60</f>
        <v>35.266666666666666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83B7-D55B-4C1E-BEAA-B7F58F428962}">
  <dimension ref="A1:N26"/>
  <sheetViews>
    <sheetView tabSelected="1" workbookViewId="0">
      <selection activeCell="K16" sqref="K16"/>
    </sheetView>
  </sheetViews>
  <sheetFormatPr defaultRowHeight="14.4" x14ac:dyDescent="0.3"/>
  <sheetData>
    <row r="1" spans="1:14" x14ac:dyDescent="0.3">
      <c r="A1" t="s">
        <v>51</v>
      </c>
      <c r="B1" t="s">
        <v>52</v>
      </c>
      <c r="D1" t="s">
        <v>53</v>
      </c>
      <c r="F1" t="s">
        <v>54</v>
      </c>
      <c r="H1" t="s">
        <v>59</v>
      </c>
      <c r="I1" t="s">
        <v>60</v>
      </c>
    </row>
    <row r="2" spans="1:14" x14ac:dyDescent="0.3">
      <c r="A2">
        <v>64</v>
      </c>
      <c r="B2">
        <v>49</v>
      </c>
      <c r="D2" s="2" t="s">
        <v>13</v>
      </c>
      <c r="F2" s="2" t="s">
        <v>13</v>
      </c>
      <c r="H2">
        <v>16</v>
      </c>
      <c r="I2" t="s">
        <v>61</v>
      </c>
      <c r="K2">
        <f>4*60</f>
        <v>240</v>
      </c>
      <c r="M2" s="9" t="s">
        <v>91</v>
      </c>
      <c r="N2">
        <v>1</v>
      </c>
    </row>
    <row r="3" spans="1:14" x14ac:dyDescent="0.3">
      <c r="A3">
        <v>33</v>
      </c>
      <c r="B3">
        <v>48</v>
      </c>
      <c r="D3" s="5" t="s">
        <v>55</v>
      </c>
      <c r="E3" s="5"/>
      <c r="F3" s="5" t="s">
        <v>56</v>
      </c>
      <c r="H3">
        <v>267</v>
      </c>
      <c r="I3" t="s">
        <v>62</v>
      </c>
      <c r="K3">
        <f>3*60+37</f>
        <v>217</v>
      </c>
      <c r="M3" s="9" t="s">
        <v>91</v>
      </c>
      <c r="N3">
        <v>2</v>
      </c>
    </row>
    <row r="4" spans="1:14" x14ac:dyDescent="0.3">
      <c r="A4">
        <v>17</v>
      </c>
      <c r="B4">
        <v>17</v>
      </c>
      <c r="D4" s="3" t="s">
        <v>63</v>
      </c>
      <c r="E4" s="3"/>
      <c r="F4" s="3"/>
      <c r="H4">
        <v>64</v>
      </c>
      <c r="I4" t="s">
        <v>64</v>
      </c>
      <c r="M4" s="9" t="s">
        <v>91</v>
      </c>
      <c r="N4">
        <v>3</v>
      </c>
    </row>
    <row r="5" spans="1:14" x14ac:dyDescent="0.3">
      <c r="A5">
        <v>41</v>
      </c>
      <c r="B5">
        <v>41</v>
      </c>
      <c r="D5" s="4" t="s">
        <v>57</v>
      </c>
      <c r="E5" s="4"/>
      <c r="F5" s="4"/>
      <c r="H5">
        <v>353</v>
      </c>
      <c r="I5">
        <v>353</v>
      </c>
      <c r="K5">
        <f>5*60+53</f>
        <v>353</v>
      </c>
      <c r="M5" s="9" t="s">
        <v>91</v>
      </c>
      <c r="N5">
        <v>4</v>
      </c>
    </row>
    <row r="6" spans="1:14" x14ac:dyDescent="0.3">
      <c r="A6">
        <v>26</v>
      </c>
      <c r="B6">
        <v>10</v>
      </c>
      <c r="D6" s="5" t="s">
        <v>58</v>
      </c>
      <c r="F6" s="6" t="s">
        <v>67</v>
      </c>
      <c r="H6">
        <v>101</v>
      </c>
      <c r="I6" t="s">
        <v>66</v>
      </c>
      <c r="M6" t="s">
        <v>92</v>
      </c>
      <c r="N6">
        <v>5</v>
      </c>
    </row>
    <row r="7" spans="1:14" x14ac:dyDescent="0.3">
      <c r="A7">
        <v>10</v>
      </c>
      <c r="B7">
        <v>26</v>
      </c>
      <c r="D7" s="6" t="s">
        <v>67</v>
      </c>
      <c r="F7" s="5" t="s">
        <v>58</v>
      </c>
      <c r="H7">
        <v>100</v>
      </c>
      <c r="I7" t="s">
        <v>65</v>
      </c>
      <c r="M7" t="s">
        <v>92</v>
      </c>
      <c r="N7">
        <v>6</v>
      </c>
    </row>
    <row r="8" spans="1:14" x14ac:dyDescent="0.3">
      <c r="A8">
        <v>56</v>
      </c>
      <c r="B8">
        <v>31</v>
      </c>
      <c r="D8" s="5" t="s">
        <v>68</v>
      </c>
      <c r="F8" s="3" t="s">
        <v>69</v>
      </c>
      <c r="H8">
        <v>127</v>
      </c>
      <c r="I8" t="s">
        <v>70</v>
      </c>
      <c r="M8" t="s">
        <v>92</v>
      </c>
      <c r="N8">
        <v>7</v>
      </c>
    </row>
    <row r="9" spans="1:14" x14ac:dyDescent="0.3">
      <c r="A9">
        <v>31</v>
      </c>
      <c r="B9">
        <v>56</v>
      </c>
      <c r="D9" s="3" t="s">
        <v>69</v>
      </c>
      <c r="F9" s="5" t="s">
        <v>68</v>
      </c>
      <c r="H9">
        <v>117</v>
      </c>
      <c r="I9">
        <v>127</v>
      </c>
      <c r="M9" t="s">
        <v>92</v>
      </c>
      <c r="N9">
        <v>8</v>
      </c>
    </row>
    <row r="10" spans="1:14" x14ac:dyDescent="0.3">
      <c r="A10">
        <v>49</v>
      </c>
      <c r="B10">
        <v>64</v>
      </c>
      <c r="D10" s="2" t="s">
        <v>13</v>
      </c>
      <c r="F10" s="2" t="s">
        <v>13</v>
      </c>
      <c r="H10">
        <v>25</v>
      </c>
      <c r="I10">
        <v>16</v>
      </c>
      <c r="M10" s="9" t="s">
        <v>91</v>
      </c>
      <c r="N10">
        <v>9</v>
      </c>
    </row>
    <row r="11" spans="1:14" x14ac:dyDescent="0.3">
      <c r="A11" t="s">
        <v>71</v>
      </c>
      <c r="B11" t="s">
        <v>71</v>
      </c>
      <c r="D11" t="s">
        <v>7</v>
      </c>
      <c r="F11" t="s">
        <v>7</v>
      </c>
      <c r="H11">
        <v>180</v>
      </c>
      <c r="I11">
        <v>180</v>
      </c>
      <c r="N11" t="s">
        <v>77</v>
      </c>
    </row>
    <row r="12" spans="1:14" x14ac:dyDescent="0.3">
      <c r="A12" t="s">
        <v>73</v>
      </c>
      <c r="B12" t="s">
        <v>73</v>
      </c>
      <c r="D12" t="s">
        <v>13</v>
      </c>
      <c r="F12" t="s">
        <v>13</v>
      </c>
      <c r="H12">
        <v>93</v>
      </c>
      <c r="I12">
        <v>93</v>
      </c>
      <c r="N12" t="s">
        <v>76</v>
      </c>
    </row>
    <row r="13" spans="1:14" x14ac:dyDescent="0.3">
      <c r="A13" t="s">
        <v>74</v>
      </c>
      <c r="B13" t="s">
        <v>74</v>
      </c>
      <c r="D13" t="s">
        <v>7</v>
      </c>
      <c r="F13" t="s">
        <v>7</v>
      </c>
      <c r="H13">
        <v>171</v>
      </c>
      <c r="I13">
        <v>171</v>
      </c>
      <c r="N13" t="s">
        <v>75</v>
      </c>
    </row>
    <row r="14" spans="1:14" x14ac:dyDescent="0.3">
      <c r="A14">
        <v>55</v>
      </c>
      <c r="B14">
        <v>55</v>
      </c>
      <c r="D14" t="s">
        <v>12</v>
      </c>
      <c r="F14" t="s">
        <v>12</v>
      </c>
      <c r="H14">
        <v>240</v>
      </c>
      <c r="I14">
        <v>240</v>
      </c>
      <c r="K14">
        <f>H26/60</f>
        <v>30.9</v>
      </c>
      <c r="N14" t="s">
        <v>78</v>
      </c>
    </row>
    <row r="26" spans="8:8" x14ac:dyDescent="0.3">
      <c r="H26">
        <f>SUM(H2:H24)</f>
        <v>1854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425E-FB46-457B-99E1-89BBA712A6B5}">
  <dimension ref="A1:L15"/>
  <sheetViews>
    <sheetView workbookViewId="0">
      <selection activeCell="G25" sqref="G25"/>
    </sheetView>
  </sheetViews>
  <sheetFormatPr defaultRowHeight="14.4" x14ac:dyDescent="0.3"/>
  <cols>
    <col min="9" max="9" width="50.6640625" bestFit="1" customWidth="1"/>
    <col min="11" max="12" width="8.88671875" style="1"/>
    <col min="14" max="14" width="46.44140625" bestFit="1" customWidth="1"/>
    <col min="15" max="15" width="50.21875" bestFit="1" customWidth="1"/>
    <col min="16" max="16" width="50.6640625" bestFit="1" customWidth="1"/>
    <col min="17" max="17" width="46.44140625" bestFit="1" customWidth="1"/>
    <col min="20" max="20" width="5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  <c r="J1" t="s">
        <v>16</v>
      </c>
    </row>
    <row r="2" spans="1:10" x14ac:dyDescent="0.3">
      <c r="A2">
        <v>23</v>
      </c>
      <c r="B2">
        <v>14</v>
      </c>
      <c r="C2" t="s">
        <v>7</v>
      </c>
      <c r="D2" t="s">
        <v>7</v>
      </c>
      <c r="E2">
        <v>1</v>
      </c>
      <c r="F2">
        <v>0</v>
      </c>
      <c r="G2">
        <v>1</v>
      </c>
      <c r="H2" t="s">
        <v>17</v>
      </c>
      <c r="I2" t="s">
        <v>30</v>
      </c>
      <c r="J2" t="s">
        <v>42</v>
      </c>
    </row>
    <row r="3" spans="1:10" x14ac:dyDescent="0.3">
      <c r="A3">
        <v>2</v>
      </c>
      <c r="B3">
        <v>19</v>
      </c>
      <c r="C3" t="s">
        <v>8</v>
      </c>
      <c r="D3" t="s">
        <v>9</v>
      </c>
      <c r="E3">
        <v>0</v>
      </c>
      <c r="F3">
        <v>0</v>
      </c>
      <c r="G3">
        <v>-1</v>
      </c>
      <c r="H3" t="s">
        <v>18</v>
      </c>
      <c r="I3" t="s">
        <v>31</v>
      </c>
      <c r="J3" t="s">
        <v>43</v>
      </c>
    </row>
    <row r="4" spans="1:10" x14ac:dyDescent="0.3">
      <c r="A4">
        <v>51</v>
      </c>
      <c r="B4">
        <v>26</v>
      </c>
      <c r="C4" t="s">
        <v>8</v>
      </c>
      <c r="D4" t="s">
        <v>10</v>
      </c>
      <c r="E4">
        <v>0</v>
      </c>
      <c r="F4">
        <v>0</v>
      </c>
      <c r="G4">
        <v>0</v>
      </c>
      <c r="H4" t="s">
        <v>19</v>
      </c>
      <c r="I4" t="s">
        <v>32</v>
      </c>
      <c r="J4" t="s">
        <v>44</v>
      </c>
    </row>
    <row r="5" spans="1:10" x14ac:dyDescent="0.3">
      <c r="A5">
        <v>41</v>
      </c>
      <c r="B5">
        <v>41</v>
      </c>
      <c r="C5" t="s">
        <v>8</v>
      </c>
      <c r="D5" t="s">
        <v>8</v>
      </c>
      <c r="E5">
        <v>1</v>
      </c>
      <c r="F5">
        <v>1</v>
      </c>
      <c r="G5">
        <v>-1</v>
      </c>
      <c r="H5" t="s">
        <v>20</v>
      </c>
      <c r="I5" t="s">
        <v>33</v>
      </c>
      <c r="J5" t="s">
        <v>33</v>
      </c>
    </row>
    <row r="6" spans="1:10" x14ac:dyDescent="0.3">
      <c r="A6">
        <v>30</v>
      </c>
      <c r="B6">
        <v>68</v>
      </c>
      <c r="C6" t="s">
        <v>8</v>
      </c>
      <c r="D6" t="s">
        <v>8</v>
      </c>
      <c r="E6">
        <v>1</v>
      </c>
      <c r="F6">
        <v>0</v>
      </c>
      <c r="G6">
        <v>-1</v>
      </c>
      <c r="H6" t="s">
        <v>21</v>
      </c>
      <c r="I6" t="s">
        <v>34</v>
      </c>
      <c r="J6" t="s">
        <v>45</v>
      </c>
    </row>
    <row r="7" spans="1:10" x14ac:dyDescent="0.3">
      <c r="A7">
        <v>22</v>
      </c>
      <c r="B7">
        <v>70</v>
      </c>
      <c r="C7" t="s">
        <v>11</v>
      </c>
      <c r="D7" t="s">
        <v>10</v>
      </c>
      <c r="E7">
        <v>0</v>
      </c>
      <c r="F7">
        <v>0</v>
      </c>
      <c r="G7">
        <v>0</v>
      </c>
      <c r="H7" t="s">
        <v>22</v>
      </c>
      <c r="I7" t="s">
        <v>35</v>
      </c>
      <c r="J7" t="s">
        <v>46</v>
      </c>
    </row>
    <row r="8" spans="1:10" x14ac:dyDescent="0.3">
      <c r="A8">
        <v>7</v>
      </c>
      <c r="B8">
        <v>7</v>
      </c>
      <c r="C8" t="s">
        <v>12</v>
      </c>
      <c r="D8" t="s">
        <v>12</v>
      </c>
      <c r="E8">
        <v>1</v>
      </c>
      <c r="F8">
        <v>1</v>
      </c>
      <c r="G8">
        <v>-1</v>
      </c>
      <c r="H8" t="s">
        <v>23</v>
      </c>
      <c r="I8" t="s">
        <v>36</v>
      </c>
      <c r="J8" t="s">
        <v>36</v>
      </c>
    </row>
    <row r="9" spans="1:10" x14ac:dyDescent="0.3">
      <c r="A9">
        <v>28</v>
      </c>
      <c r="B9">
        <v>28</v>
      </c>
      <c r="C9" t="s">
        <v>12</v>
      </c>
      <c r="D9" t="s">
        <v>12</v>
      </c>
      <c r="E9">
        <v>1</v>
      </c>
      <c r="F9">
        <v>1</v>
      </c>
      <c r="G9">
        <v>-1</v>
      </c>
      <c r="H9" t="s">
        <v>24</v>
      </c>
      <c r="I9" t="s">
        <v>37</v>
      </c>
      <c r="J9" t="s">
        <v>37</v>
      </c>
    </row>
    <row r="10" spans="1:10" x14ac:dyDescent="0.3">
      <c r="A10">
        <v>39</v>
      </c>
      <c r="B10">
        <v>49</v>
      </c>
      <c r="C10" t="s">
        <v>12</v>
      </c>
      <c r="D10" t="s">
        <v>13</v>
      </c>
      <c r="E10">
        <v>0</v>
      </c>
      <c r="F10">
        <v>0</v>
      </c>
      <c r="G10">
        <v>2</v>
      </c>
      <c r="H10" t="s">
        <v>25</v>
      </c>
      <c r="I10" t="s">
        <v>38</v>
      </c>
      <c r="J10" t="s">
        <v>50</v>
      </c>
    </row>
    <row r="11" spans="1:10" x14ac:dyDescent="0.3">
      <c r="A11">
        <v>58</v>
      </c>
      <c r="B11">
        <v>58</v>
      </c>
      <c r="C11" t="s">
        <v>13</v>
      </c>
      <c r="D11" t="s">
        <v>13</v>
      </c>
      <c r="E11">
        <v>1</v>
      </c>
      <c r="F11">
        <v>1</v>
      </c>
      <c r="G11">
        <v>2</v>
      </c>
      <c r="H11" t="s">
        <v>26</v>
      </c>
      <c r="I11" t="s">
        <v>49</v>
      </c>
      <c r="J11" t="s">
        <v>49</v>
      </c>
    </row>
    <row r="12" spans="1:10" x14ac:dyDescent="0.3">
      <c r="A12">
        <v>52</v>
      </c>
      <c r="B12">
        <v>59</v>
      </c>
      <c r="C12" t="s">
        <v>9</v>
      </c>
      <c r="D12" t="s">
        <v>10</v>
      </c>
      <c r="E12">
        <v>0</v>
      </c>
      <c r="F12">
        <v>0</v>
      </c>
      <c r="G12">
        <v>0</v>
      </c>
      <c r="H12" t="s">
        <v>27</v>
      </c>
      <c r="I12" t="s">
        <v>39</v>
      </c>
      <c r="J12" t="s">
        <v>47</v>
      </c>
    </row>
    <row r="13" spans="1:10" x14ac:dyDescent="0.3">
      <c r="A13">
        <v>48</v>
      </c>
      <c r="B13">
        <v>55</v>
      </c>
      <c r="C13" t="s">
        <v>10</v>
      </c>
      <c r="D13" t="s">
        <v>12</v>
      </c>
      <c r="E13">
        <v>0</v>
      </c>
      <c r="F13">
        <v>0</v>
      </c>
      <c r="G13">
        <v>0</v>
      </c>
      <c r="H13" t="s">
        <v>28</v>
      </c>
      <c r="I13" t="s">
        <v>40</v>
      </c>
      <c r="J13" t="s">
        <v>48</v>
      </c>
    </row>
    <row r="14" spans="1:10" x14ac:dyDescent="0.3">
      <c r="A14">
        <v>33</v>
      </c>
      <c r="B14">
        <v>48</v>
      </c>
      <c r="C14" t="s">
        <v>10</v>
      </c>
      <c r="D14" t="s">
        <v>10</v>
      </c>
      <c r="E14">
        <v>1</v>
      </c>
      <c r="F14">
        <v>0</v>
      </c>
      <c r="G14">
        <v>1</v>
      </c>
      <c r="H14" t="s">
        <v>29</v>
      </c>
      <c r="I14" t="s">
        <v>41</v>
      </c>
      <c r="J14" t="s">
        <v>40</v>
      </c>
    </row>
    <row r="15" spans="1:10" x14ac:dyDescent="0.3">
      <c r="A15">
        <v>39</v>
      </c>
      <c r="B15">
        <v>39</v>
      </c>
      <c r="C15" t="s">
        <v>10</v>
      </c>
      <c r="D15" t="s">
        <v>10</v>
      </c>
      <c r="E15">
        <v>1</v>
      </c>
      <c r="F15">
        <v>1</v>
      </c>
      <c r="G15">
        <v>1</v>
      </c>
      <c r="H15" t="s">
        <v>25</v>
      </c>
      <c r="I15" t="s">
        <v>38</v>
      </c>
      <c r="J15" t="s">
        <v>38</v>
      </c>
    </row>
  </sheetData>
  <conditionalFormatting sqref="F1">
    <cfRule type="colorScale" priority="3">
      <colorScale>
        <cfvo type="min"/>
        <cfvo type="max"/>
        <color theme="5" tint="0.39997558519241921"/>
        <color theme="2" tint="-0.249977111117893"/>
      </colorScale>
    </cfRule>
  </conditionalFormatting>
  <conditionalFormatting sqref="F2:F15">
    <cfRule type="colorScale" priority="1">
      <colorScale>
        <cfvo type="min"/>
        <cfvo type="max"/>
        <color theme="5" tint="0.39997558519241921"/>
        <color theme="2" tint="-0.249977111117893"/>
      </colorScale>
    </cfRule>
  </conditionalFormatting>
  <conditionalFormatting sqref="G1">
    <cfRule type="colorScale" priority="4">
      <colorScale>
        <cfvo type="formula" val="-1"/>
        <cfvo type="formula" val="1"/>
        <color theme="4" tint="0.39997558519241921"/>
        <color theme="7" tint="0.39997558519241921"/>
      </colorScale>
    </cfRule>
  </conditionalFormatting>
  <conditionalFormatting sqref="G2:G15">
    <cfRule type="colorScale" priority="2">
      <colorScale>
        <cfvo type="formula" val="-1"/>
        <cfvo type="formula" val="1"/>
        <color theme="4" tint="0.39997558519241921"/>
        <color theme="7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extended</vt:lpstr>
      <vt:lpstr>simple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Ozger</dc:creator>
  <cp:lastModifiedBy>Can Ozger</cp:lastModifiedBy>
  <dcterms:created xsi:type="dcterms:W3CDTF">2024-11-19T23:20:19Z</dcterms:created>
  <dcterms:modified xsi:type="dcterms:W3CDTF">2024-12-12T11:06:18Z</dcterms:modified>
</cp:coreProperties>
</file>